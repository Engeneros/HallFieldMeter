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Proj\DistrHall\SRSR.BPC\HallFieldMeter\Project Outputs for HallFieldMeter\"/>
    </mc:Choice>
  </mc:AlternateContent>
  <bookViews>
    <workbookView xWindow="0" yWindow="0" windowWidth="16404" windowHeight="11868"/>
  </bookViews>
  <sheets>
    <sheet name="HallFM2_0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1" l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<sst xmlns="http://schemas.openxmlformats.org/spreadsheetml/2006/main" count="356" uniqueCount="244">
  <si>
    <t>Comment</t>
  </si>
  <si>
    <t>Description</t>
  </si>
  <si>
    <t>Designator</t>
  </si>
  <si>
    <t>Footprint</t>
  </si>
  <si>
    <t>LibRef</t>
  </si>
  <si>
    <t>Quantity</t>
  </si>
  <si>
    <t>10uF</t>
  </si>
  <si>
    <t>Чип конденсатор 0805</t>
  </si>
  <si>
    <t>C1, C5, C7, C8, C10, C11, C13, C20, C22, C23, C28, C30, C33, C35, C42, C43, C79, C86</t>
  </si>
  <si>
    <t>SMD0805CAP</t>
  </si>
  <si>
    <t>C0805</t>
  </si>
  <si>
    <t>33nF</t>
  </si>
  <si>
    <t>Чип конденсатор 0805, Чип конденсатор 0603</t>
  </si>
  <si>
    <t>C2, C3, C4, C6, C9, C12, C14, C15, C21, C24, C27, C29, C32, C34, C39, C41, C44, C46, C64</t>
  </si>
  <si>
    <t>Чип конденсатор 0603</t>
  </si>
  <si>
    <t>C25, C26, C31, C36, C37, C38, C40, C55, C58, C59, C60, C61, C66, C67, C68, C69, C71, C72, C73, C74, C76, C77, C78, C80, C82, C84, C85, C89, C90, C91, C92, C93, C94, C95, C96, C97, C98, C99, C100, C101, C102, C103, C104, C105</t>
  </si>
  <si>
    <t>CAPC1608X87N</t>
  </si>
  <si>
    <t>C0603</t>
  </si>
  <si>
    <t>33n</t>
  </si>
  <si>
    <t>Чип конденсатор 1206</t>
  </si>
  <si>
    <t>C45</t>
  </si>
  <si>
    <t>CAPC1206</t>
  </si>
  <si>
    <t>C1206</t>
  </si>
  <si>
    <t>3.3nF</t>
  </si>
  <si>
    <t>1nF</t>
  </si>
  <si>
    <t>C56, C57</t>
  </si>
  <si>
    <t>1uF</t>
  </si>
  <si>
    <t>C62, C65</t>
  </si>
  <si>
    <t>C63, C75</t>
  </si>
  <si>
    <t>470pF</t>
  </si>
  <si>
    <t>C81</t>
  </si>
  <si>
    <t>100nF</t>
  </si>
  <si>
    <t>C83</t>
  </si>
  <si>
    <t>30pF</t>
  </si>
  <si>
    <t>C87, C88</t>
  </si>
  <si>
    <t>DL4448</t>
  </si>
  <si>
    <t>Fast diode</t>
  </si>
  <si>
    <t>D1</t>
  </si>
  <si>
    <t>DIOMELF3515N</t>
  </si>
  <si>
    <t>IP4220CZ6</t>
  </si>
  <si>
    <t>Optotransistor</t>
  </si>
  <si>
    <t>D2, D5</t>
  </si>
  <si>
    <t>SOT95P270X145-6N</t>
  </si>
  <si>
    <t>IP4220</t>
  </si>
  <si>
    <t>W02G</t>
  </si>
  <si>
    <t>Diode Bridge Rectifier</t>
  </si>
  <si>
    <t>D3, D4</t>
  </si>
  <si>
    <t>RECTRON_RB15</t>
  </si>
  <si>
    <t>PLS2</t>
  </si>
  <si>
    <t>J1, J9, J11</t>
  </si>
  <si>
    <t>PLS1PGA_outP</t>
  </si>
  <si>
    <t>Штырь PLS1</t>
  </si>
  <si>
    <t>J2</t>
  </si>
  <si>
    <t>PLS1</t>
  </si>
  <si>
    <t>PLS1PGA_out N</t>
  </si>
  <si>
    <t>J3</t>
  </si>
  <si>
    <t>WF-4RUART</t>
  </si>
  <si>
    <t>Вилка  WF4</t>
  </si>
  <si>
    <t>J4</t>
  </si>
  <si>
    <t>MOLEX_WF4-angle</t>
  </si>
  <si>
    <t>WF4R</t>
  </si>
  <si>
    <t>Molex_438600010</t>
  </si>
  <si>
    <t>1 Port, 8 Positions, CAT5 RJ45 Modular Connector With Yellow And Green fibers for LEDs</t>
  </si>
  <si>
    <t>J5</t>
  </si>
  <si>
    <t>Molex-43860-0010</t>
  </si>
  <si>
    <t>DBR-15F</t>
  </si>
  <si>
    <t>Вилка  DSUB 9 угловая</t>
  </si>
  <si>
    <t>J6</t>
  </si>
  <si>
    <t>AMPHENOL_L717DFA15S1ATN</t>
  </si>
  <si>
    <t>D_SUB_15F</t>
  </si>
  <si>
    <t>15EDGRC-3.5-04P-14</t>
  </si>
  <si>
    <t>J7</t>
  </si>
  <si>
    <t>TE_284512-4</t>
  </si>
  <si>
    <t>PLS2MW_EN</t>
  </si>
  <si>
    <t>J8</t>
  </si>
  <si>
    <t>JmpPCB</t>
  </si>
  <si>
    <t>J10</t>
  </si>
  <si>
    <t>PCBJumper</t>
  </si>
  <si>
    <t>G6J-2P-Y12VDC</t>
  </si>
  <si>
    <t>Электромагнитное реле</t>
  </si>
  <si>
    <t>K1</t>
  </si>
  <si>
    <t>REL_OMRON_G6J-2P-Y</t>
  </si>
  <si>
    <t>G6J-2P-Y 12VDC</t>
  </si>
  <si>
    <t>BLM211k</t>
  </si>
  <si>
    <t>SMD Ferrite bead 0805</t>
  </si>
  <si>
    <t>L1, L2, L4, L5, L6, L7, L8, L9, L10, L11, L12, L13, L14</t>
  </si>
  <si>
    <t>RESC2012X50N</t>
  </si>
  <si>
    <t>BLM21</t>
  </si>
  <si>
    <t>XLH7304.9152MHz</t>
  </si>
  <si>
    <t>Генератор кварцевый</t>
  </si>
  <si>
    <t>OSC1</t>
  </si>
  <si>
    <t>OSC_PERICOM_FRETHE025</t>
  </si>
  <si>
    <t>XLH730</t>
  </si>
  <si>
    <t>#NAME?</t>
  </si>
  <si>
    <t>Push Button Angle NO</t>
  </si>
  <si>
    <t>PB1</t>
  </si>
  <si>
    <t>PB_ALPS_SKHHLQA010</t>
  </si>
  <si>
    <t>PBAngle</t>
  </si>
  <si>
    <t>AO3407A</t>
  </si>
  <si>
    <t>PMOS</t>
  </si>
  <si>
    <t>Q1</t>
  </si>
  <si>
    <t>SOT95P229X119-3N</t>
  </si>
  <si>
    <t>817B</t>
  </si>
  <si>
    <t>Q2, Q3</t>
  </si>
  <si>
    <t>DIP4-300</t>
  </si>
  <si>
    <t>LT5400-6</t>
  </si>
  <si>
    <t>4 прецизионных резистора</t>
  </si>
  <si>
    <t>R1, R7</t>
  </si>
  <si>
    <t>SOP65P488X110-9N-R178X241</t>
  </si>
  <si>
    <t>LT5400</t>
  </si>
  <si>
    <t>1k</t>
  </si>
  <si>
    <t>Чип резистор 0805</t>
  </si>
  <si>
    <t>SMD0805RES</t>
  </si>
  <si>
    <t>R0805</t>
  </si>
  <si>
    <t>1k5</t>
  </si>
  <si>
    <t>R3, R9, R46</t>
  </si>
  <si>
    <t>5k1</t>
  </si>
  <si>
    <t>R4, R14, R22</t>
  </si>
  <si>
    <t>Y1172_200R0000F</t>
  </si>
  <si>
    <t>Прецизионный чип резистор 0805</t>
  </si>
  <si>
    <t>R6</t>
  </si>
  <si>
    <t>Y1172</t>
  </si>
  <si>
    <t>Y1496_200R0000F</t>
  </si>
  <si>
    <t>Прецизионный чип резистор 1206</t>
  </si>
  <si>
    <t>R8</t>
  </si>
  <si>
    <t>RESC3016X65N</t>
  </si>
  <si>
    <t>Y1496</t>
  </si>
  <si>
    <t>0</t>
  </si>
  <si>
    <t>R12, R19, R54, R55</t>
  </si>
  <si>
    <t>100</t>
  </si>
  <si>
    <t>R21</t>
  </si>
  <si>
    <t>LT5400-7</t>
  </si>
  <si>
    <t>R33</t>
  </si>
  <si>
    <t>LT5400_7</t>
  </si>
  <si>
    <t>27k</t>
  </si>
  <si>
    <t>Чип резистор 0603</t>
  </si>
  <si>
    <t>RESC1608X64N</t>
  </si>
  <si>
    <t>R0603</t>
  </si>
  <si>
    <t>300</t>
  </si>
  <si>
    <t>R40, R41</t>
  </si>
  <si>
    <t>.100k</t>
  </si>
  <si>
    <t>R42, R62</t>
  </si>
  <si>
    <t>R43</t>
  </si>
  <si>
    <t>3k3</t>
  </si>
  <si>
    <t>R44</t>
  </si>
  <si>
    <t>4k7</t>
  </si>
  <si>
    <t>R45</t>
  </si>
  <si>
    <t>R50</t>
  </si>
  <si>
    <t>R52, R53, R57, R58</t>
  </si>
  <si>
    <t>R59, R60, R65, R70, R71</t>
  </si>
  <si>
    <t>.20k</t>
  </si>
  <si>
    <t>R61</t>
  </si>
  <si>
    <t>49.9</t>
  </si>
  <si>
    <t>Сборка из 4х чип резисторов</t>
  </si>
  <si>
    <t>R63</t>
  </si>
  <si>
    <t>CAY16x4</t>
  </si>
  <si>
    <t>CAY16</t>
  </si>
  <si>
    <t>10k</t>
  </si>
  <si>
    <t>R64, R69</t>
  </si>
  <si>
    <t>R66</t>
  </si>
  <si>
    <t>33</t>
  </si>
  <si>
    <t>R67</t>
  </si>
  <si>
    <t>12k1</t>
  </si>
  <si>
    <t>R68</t>
  </si>
  <si>
    <t>ADP7118-5.0-</t>
  </si>
  <si>
    <t>Positive LDO Linear stabilizer</t>
  </si>
  <si>
    <t>U1, U5</t>
  </si>
  <si>
    <t>SOT23-5</t>
  </si>
  <si>
    <t>ADP7118</t>
  </si>
  <si>
    <t>LT3042</t>
  </si>
  <si>
    <t>Current source v 100uA ref</t>
  </si>
  <si>
    <t>U2, U4</t>
  </si>
  <si>
    <t>SOP50P490X110-11N-R157X188</t>
  </si>
  <si>
    <t>АЦП</t>
  </si>
  <si>
    <t>U6</t>
  </si>
  <si>
    <t>SOP65P780X200-28N</t>
  </si>
  <si>
    <t>ADS1234</t>
  </si>
  <si>
    <t>ADP7118-3.3-</t>
  </si>
  <si>
    <t>U7</t>
  </si>
  <si>
    <t>LTC6655-2.5</t>
  </si>
  <si>
    <t>Low noise precision reference,</t>
  </si>
  <si>
    <t>U8</t>
  </si>
  <si>
    <t>SOP65P488X110-8N</t>
  </si>
  <si>
    <t>LTC6655B-5</t>
  </si>
  <si>
    <t>ADG1609</t>
  </si>
  <si>
    <t>Мультиплексор аналоговый дифференциальный 4 канала</t>
  </si>
  <si>
    <t>U9</t>
  </si>
  <si>
    <t>TSSOP-16</t>
  </si>
  <si>
    <t>ADA4522</t>
  </si>
  <si>
    <t>Op amp</t>
  </si>
  <si>
    <t>U10</t>
  </si>
  <si>
    <t>LMZ12003EXT</t>
  </si>
  <si>
    <t>DC-DC Power Module</t>
  </si>
  <si>
    <t>U11</t>
  </si>
  <si>
    <t>NATIONAL_TO-PMOD-7 (TZA07A)</t>
  </si>
  <si>
    <t>LMZ12003</t>
  </si>
  <si>
    <t>MYBSP0122BABFT+CB122BABFT</t>
  </si>
  <si>
    <t>POE isolated DC-DC 24W</t>
  </si>
  <si>
    <t>U12</t>
  </si>
  <si>
    <t>MURATA_MYBSP0122BABFT_0 - DUPLICATE</t>
  </si>
  <si>
    <t>MYBSP0122BABFT</t>
  </si>
  <si>
    <t>STM32F756ZGT6</t>
  </si>
  <si>
    <t>High-performance and DSP with FPU, Arm Cortex-M7 MCU with 1 Mbyte of Flash memory, 216 MHz CPU, Art Accelerator, L1 cache, HW crypto, SDRAM, TFT</t>
  </si>
  <si>
    <t>U13</t>
  </si>
  <si>
    <t>LQFP-144_STM-M</t>
  </si>
  <si>
    <t>74HC14D</t>
  </si>
  <si>
    <t>6 триггеров Шмита с инверсией.</t>
  </si>
  <si>
    <t>U14</t>
  </si>
  <si>
    <t>SOIC127P600X175-14N</t>
  </si>
  <si>
    <t>TPS38083V3</t>
  </si>
  <si>
    <t>Supervisory Circuit. Low-Quiescent-Current, Programmable-Delay</t>
  </si>
  <si>
    <t>U15</t>
  </si>
  <si>
    <t>TPS3808</t>
  </si>
  <si>
    <t>H5007NL</t>
  </si>
  <si>
    <t>Ethernet transformer IEEE 802.3</t>
  </si>
  <si>
    <t>U16</t>
  </si>
  <si>
    <t>XFMR_PULSE_H5007NL</t>
  </si>
  <si>
    <t>LAN8742A-CZ</t>
  </si>
  <si>
    <t>U17</t>
  </si>
  <si>
    <t>QFN24_0R5_4X4</t>
  </si>
  <si>
    <t>LAN8742</t>
  </si>
  <si>
    <t>Isolateted DC DC 5V-&gt;5V or 3V3 60mA</t>
  </si>
  <si>
    <t>U18</t>
  </si>
  <si>
    <t>AT24C</t>
  </si>
  <si>
    <t>AA-25.000MHz</t>
  </si>
  <si>
    <t>Резонатор кварцевый</t>
  </si>
  <si>
    <t>X1</t>
  </si>
  <si>
    <t>XTAL_AA</t>
  </si>
  <si>
    <t>AA-25</t>
  </si>
  <si>
    <t>2-1825027-0</t>
  </si>
  <si>
    <t>Чип резистор 0603 0805 27k</t>
  </si>
  <si>
    <t>Чип резистор 0805 -&gt;0603</t>
  </si>
  <si>
    <t>Чип резистор 0805 0603 4k7</t>
  </si>
  <si>
    <t xml:space="preserve">Чип резистор 0603-&gt;0805 100 </t>
  </si>
  <si>
    <t>Чип резистор 0603 -&gt;1k5 0805</t>
  </si>
  <si>
    <t>ADG1609BRUZ</t>
  </si>
  <si>
    <t>ADA4522-1ARMZ</t>
  </si>
  <si>
    <t>AT24C16M5/TR</t>
  </si>
  <si>
    <t>C53, C54</t>
  </si>
  <si>
    <t>C47, C48, C49, C50, C51, C52</t>
  </si>
  <si>
    <t>R39, R48, R49, 'R5, R10, R51</t>
  </si>
  <si>
    <t>Чип резистор 0805 27k</t>
  </si>
  <si>
    <t>Чип резистор 0805 1k</t>
  </si>
  <si>
    <t>R2, R11, R13, R15, R16, R17, R18, R20, R23, R24, R25, R26, R27, R28, R29, R30, R31, R32, R34, R35, R36, R37, R38, R47, R56, R72, R40, R41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</si>
</sst>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8"/>
      <color theme="1"/>
      <name val="Segoe U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2" fillId="3" borderId="1" xfId="0" quotePrefix="1" applyFont="1" applyFill="1" applyBorder="1"/>
    <xf numFmtId="0" fontId="1" fillId="3" borderId="1" xfId="0" quotePrefix="1" applyFont="1" applyFill="1" applyBorder="1"/>
    <xf numFmtId="0" fontId="1" fillId="4" borderId="1" xfId="0" quotePrefix="1" applyFont="1" applyFill="1" applyBorder="1"/>
    <xf numFmtId="0" fontId="1" fillId="5" borderId="1" xfId="0" quotePrefix="1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0" fontId="2" fillId="5" borderId="1" xfId="0" quotePrefix="1" applyFont="1" applyFill="1" applyBorder="1"/>
    <xf numFmtId="0" fontId="1" fillId="6" borderId="1" xfId="0" quotePrefix="1" applyFont="1" applyFill="1" applyBorder="1"/>
    <xf numFmtId="0" fontId="1" fillId="7" borderId="1" xfId="0" quotePrefix="1" applyFont="1" applyFill="1" applyBorder="1"/>
    <xf numFmtId="0" fontId="1" fillId="7" borderId="1" xfId="0" applyFont="1" applyFill="1" applyBorder="1"/>
    <xf numFmtId="0" fontId="1" fillId="6" borderId="1" xfId="0" applyFont="1" applyFill="1" applyBorder="1"/>
    <xf numFmtId="0" fontId="0" fillId="6" borderId="0" xfId="0" applyFill="1"/>
    <xf numFmtId="0" fontId="1" fillId="9" borderId="1" xfId="0" quotePrefix="1" applyFont="1" applyFill="1" applyBorder="1"/>
    <xf numFmtId="0" fontId="1" fillId="8" borderId="1" xfId="0" applyFont="1" applyFill="1" applyBorder="1"/>
    <xf numFmtId="0" fontId="1" fillId="10" borderId="1" xfId="0" quotePrefix="1" applyFont="1" applyFill="1" applyBorder="1"/>
    <xf numFmtId="0" fontId="1" fillId="10" borderId="1" xfId="0" applyFont="1" applyFill="1" applyBorder="1"/>
    <xf numFmtId="0" fontId="1" fillId="11" borderId="1" xfId="0" quotePrefix="1" applyFont="1" applyFill="1" applyBorder="1"/>
    <xf numFmtId="0" fontId="1" fillId="11" borderId="1" xfId="0" applyFont="1" applyFill="1" applyBorder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topLeftCell="A16" zoomScale="145" zoomScaleNormal="145" workbookViewId="0">
      <selection activeCell="A42" sqref="A42:I42"/>
    </sheetView>
  </sheetViews>
  <sheetFormatPr defaultRowHeight="14.4" x14ac:dyDescent="0.3"/>
  <cols>
    <col min="1" max="1" width="38.5546875" customWidth="1"/>
    <col min="2" max="2" width="21.44140625" customWidth="1"/>
    <col min="3" max="3" width="9.44140625" customWidth="1"/>
    <col min="4" max="5" width="9.88671875" customWidth="1"/>
    <col min="6" max="6" width="33.33203125" customWidth="1"/>
    <col min="9" max="9" width="27.88671875" customWidth="1"/>
  </cols>
  <sheetData>
    <row r="1" spans="1:9" x14ac:dyDescent="0.3">
      <c r="A1" s="1" t="s">
        <v>0</v>
      </c>
      <c r="B1" s="1" t="s">
        <v>3</v>
      </c>
      <c r="C1" s="1" t="s">
        <v>4</v>
      </c>
      <c r="D1" s="1" t="s">
        <v>5</v>
      </c>
      <c r="E1" s="1"/>
      <c r="F1" s="1" t="s">
        <v>1</v>
      </c>
      <c r="I1" s="1" t="s">
        <v>2</v>
      </c>
    </row>
    <row r="2" spans="1:9" x14ac:dyDescent="0.3">
      <c r="A2" s="4" t="s">
        <v>6</v>
      </c>
      <c r="B2" s="2" t="s">
        <v>9</v>
      </c>
      <c r="C2" s="2" t="s">
        <v>10</v>
      </c>
      <c r="D2" s="3">
        <v>18</v>
      </c>
      <c r="E2" s="3">
        <f>D2*20</f>
        <v>360</v>
      </c>
      <c r="F2" s="2" t="s">
        <v>7</v>
      </c>
      <c r="I2" s="2" t="s">
        <v>8</v>
      </c>
    </row>
    <row r="3" spans="1:9" x14ac:dyDescent="0.3">
      <c r="A3" s="5" t="s">
        <v>11</v>
      </c>
      <c r="B3" s="2" t="s">
        <v>9</v>
      </c>
      <c r="C3" s="2" t="s">
        <v>10</v>
      </c>
      <c r="D3" s="3">
        <v>19</v>
      </c>
      <c r="E3" s="3">
        <f t="shared" ref="E3:E65" si="0">D3*20</f>
        <v>380</v>
      </c>
      <c r="F3" s="2" t="s">
        <v>12</v>
      </c>
      <c r="I3" s="2" t="s">
        <v>13</v>
      </c>
    </row>
    <row r="4" spans="1:9" x14ac:dyDescent="0.3">
      <c r="A4" s="7" t="s">
        <v>11</v>
      </c>
      <c r="B4" s="2" t="s">
        <v>16</v>
      </c>
      <c r="C4" s="2" t="s">
        <v>17</v>
      </c>
      <c r="D4" s="3">
        <v>45</v>
      </c>
      <c r="E4" s="3">
        <f t="shared" si="0"/>
        <v>900</v>
      </c>
      <c r="F4" s="2" t="s">
        <v>14</v>
      </c>
      <c r="I4" s="2" t="s">
        <v>15</v>
      </c>
    </row>
    <row r="5" spans="1:9" x14ac:dyDescent="0.3">
      <c r="A5" s="5" t="s">
        <v>18</v>
      </c>
      <c r="B5" s="2" t="s">
        <v>21</v>
      </c>
      <c r="C5" s="2" t="s">
        <v>22</v>
      </c>
      <c r="D5" s="3">
        <v>1</v>
      </c>
      <c r="E5" s="3">
        <f t="shared" si="0"/>
        <v>20</v>
      </c>
      <c r="F5" s="2" t="s">
        <v>19</v>
      </c>
      <c r="I5" s="2" t="s">
        <v>20</v>
      </c>
    </row>
    <row r="6" spans="1:9" x14ac:dyDescent="0.3">
      <c r="A6" s="5" t="s">
        <v>23</v>
      </c>
      <c r="B6" s="2" t="s">
        <v>16</v>
      </c>
      <c r="C6" s="2" t="s">
        <v>17</v>
      </c>
      <c r="D6" s="15">
        <v>6</v>
      </c>
      <c r="E6" s="3">
        <f t="shared" si="0"/>
        <v>120</v>
      </c>
      <c r="F6" s="2" t="s">
        <v>14</v>
      </c>
      <c r="I6" s="2" t="s">
        <v>239</v>
      </c>
    </row>
    <row r="7" spans="1:9" x14ac:dyDescent="0.3">
      <c r="A7" s="17" t="s">
        <v>23</v>
      </c>
      <c r="B7" s="2" t="s">
        <v>9</v>
      </c>
      <c r="C7" s="2" t="s">
        <v>10</v>
      </c>
      <c r="D7" s="18">
        <v>2</v>
      </c>
      <c r="E7" s="3">
        <f t="shared" si="0"/>
        <v>40</v>
      </c>
      <c r="F7" s="2" t="s">
        <v>7</v>
      </c>
      <c r="I7" s="2" t="s">
        <v>238</v>
      </c>
    </row>
    <row r="8" spans="1:9" x14ac:dyDescent="0.3">
      <c r="A8" s="5" t="s">
        <v>24</v>
      </c>
      <c r="B8" s="2" t="s">
        <v>21</v>
      </c>
      <c r="C8" s="2" t="s">
        <v>22</v>
      </c>
      <c r="D8" s="3">
        <v>2</v>
      </c>
      <c r="E8" s="3">
        <f t="shared" si="0"/>
        <v>40</v>
      </c>
      <c r="F8" s="2" t="s">
        <v>19</v>
      </c>
      <c r="I8" s="2" t="s">
        <v>25</v>
      </c>
    </row>
    <row r="9" spans="1:9" x14ac:dyDescent="0.3">
      <c r="A9" s="7" t="s">
        <v>26</v>
      </c>
      <c r="B9" s="2" t="s">
        <v>9</v>
      </c>
      <c r="C9" s="2" t="s">
        <v>10</v>
      </c>
      <c r="D9" s="3">
        <v>2</v>
      </c>
      <c r="E9" s="3">
        <f t="shared" si="0"/>
        <v>40</v>
      </c>
      <c r="F9" s="2" t="s">
        <v>7</v>
      </c>
      <c r="I9" s="2" t="s">
        <v>27</v>
      </c>
    </row>
    <row r="10" spans="1:9" x14ac:dyDescent="0.3">
      <c r="A10" s="6" t="s">
        <v>6</v>
      </c>
      <c r="B10" s="2" t="s">
        <v>21</v>
      </c>
      <c r="C10" s="2" t="s">
        <v>22</v>
      </c>
      <c r="D10" s="3">
        <v>2</v>
      </c>
      <c r="E10" s="3">
        <f t="shared" si="0"/>
        <v>40</v>
      </c>
      <c r="F10" s="2" t="s">
        <v>19</v>
      </c>
      <c r="I10" s="2" t="s">
        <v>28</v>
      </c>
    </row>
    <row r="11" spans="1:9" x14ac:dyDescent="0.3">
      <c r="A11" s="2" t="s">
        <v>29</v>
      </c>
      <c r="B11" s="2" t="s">
        <v>16</v>
      </c>
      <c r="C11" s="2" t="s">
        <v>17</v>
      </c>
      <c r="D11" s="3">
        <v>1</v>
      </c>
      <c r="E11" s="3">
        <f t="shared" si="0"/>
        <v>20</v>
      </c>
      <c r="F11" s="2" t="s">
        <v>14</v>
      </c>
      <c r="I11" s="2" t="s">
        <v>30</v>
      </c>
    </row>
    <row r="12" spans="1:9" x14ac:dyDescent="0.3">
      <c r="A12" s="19" t="s">
        <v>31</v>
      </c>
      <c r="B12" s="2" t="s">
        <v>16</v>
      </c>
      <c r="C12" s="2" t="s">
        <v>17</v>
      </c>
      <c r="D12" s="3">
        <v>1</v>
      </c>
      <c r="E12" s="3">
        <f t="shared" si="0"/>
        <v>20</v>
      </c>
      <c r="F12" s="2" t="s">
        <v>14</v>
      </c>
      <c r="I12" s="2" t="s">
        <v>32</v>
      </c>
    </row>
    <row r="13" spans="1:9" x14ac:dyDescent="0.3">
      <c r="A13" s="5" t="s">
        <v>33</v>
      </c>
      <c r="B13" s="2" t="s">
        <v>16</v>
      </c>
      <c r="C13" s="2" t="s">
        <v>17</v>
      </c>
      <c r="D13" s="3">
        <v>2</v>
      </c>
      <c r="E13" s="3">
        <f t="shared" si="0"/>
        <v>40</v>
      </c>
      <c r="F13" s="2" t="s">
        <v>14</v>
      </c>
      <c r="I13" s="2" t="s">
        <v>34</v>
      </c>
    </row>
    <row r="14" spans="1:9" x14ac:dyDescent="0.3">
      <c r="A14" s="5" t="s">
        <v>35</v>
      </c>
      <c r="B14" s="2" t="s">
        <v>38</v>
      </c>
      <c r="C14" s="2" t="s">
        <v>35</v>
      </c>
      <c r="D14" s="3">
        <v>1</v>
      </c>
      <c r="E14" s="3">
        <f t="shared" si="0"/>
        <v>20</v>
      </c>
      <c r="F14" s="2" t="s">
        <v>36</v>
      </c>
      <c r="I14" s="2" t="s">
        <v>37</v>
      </c>
    </row>
    <row r="15" spans="1:9" x14ac:dyDescent="0.3">
      <c r="A15" s="5" t="s">
        <v>39</v>
      </c>
      <c r="B15" s="2" t="s">
        <v>42</v>
      </c>
      <c r="C15" s="2" t="s">
        <v>43</v>
      </c>
      <c r="D15" s="3">
        <v>2</v>
      </c>
      <c r="E15" s="3">
        <f t="shared" si="0"/>
        <v>40</v>
      </c>
      <c r="F15" s="2" t="s">
        <v>40</v>
      </c>
      <c r="I15" s="2" t="s">
        <v>41</v>
      </c>
    </row>
    <row r="16" spans="1:9" x14ac:dyDescent="0.3">
      <c r="A16" s="5" t="s">
        <v>44</v>
      </c>
      <c r="B16" s="2" t="s">
        <v>47</v>
      </c>
      <c r="C16" s="2" t="s">
        <v>44</v>
      </c>
      <c r="D16" s="3">
        <v>2</v>
      </c>
      <c r="E16" s="3">
        <f t="shared" si="0"/>
        <v>40</v>
      </c>
      <c r="F16" s="2" t="s">
        <v>45</v>
      </c>
      <c r="I16" s="2" t="s">
        <v>46</v>
      </c>
    </row>
    <row r="17" spans="1:9" x14ac:dyDescent="0.3">
      <c r="A17" s="5" t="s">
        <v>48</v>
      </c>
      <c r="B17" s="2" t="s">
        <v>48</v>
      </c>
      <c r="C17" s="2" t="s">
        <v>48</v>
      </c>
      <c r="D17" s="3">
        <v>3</v>
      </c>
      <c r="E17" s="3">
        <f t="shared" si="0"/>
        <v>60</v>
      </c>
      <c r="F17" s="2" t="s">
        <v>48</v>
      </c>
      <c r="I17" s="2" t="s">
        <v>49</v>
      </c>
    </row>
    <row r="18" spans="1:9" x14ac:dyDescent="0.3">
      <c r="A18" s="5" t="s">
        <v>50</v>
      </c>
      <c r="B18" s="2" t="s">
        <v>53</v>
      </c>
      <c r="C18" s="2" t="s">
        <v>53</v>
      </c>
      <c r="D18" s="3">
        <v>1</v>
      </c>
      <c r="E18" s="3">
        <f t="shared" si="0"/>
        <v>20</v>
      </c>
      <c r="F18" s="2" t="s">
        <v>51</v>
      </c>
      <c r="I18" s="2" t="s">
        <v>52</v>
      </c>
    </row>
    <row r="19" spans="1:9" x14ac:dyDescent="0.3">
      <c r="A19" s="5" t="s">
        <v>54</v>
      </c>
      <c r="B19" s="2" t="s">
        <v>53</v>
      </c>
      <c r="C19" s="2" t="s">
        <v>53</v>
      </c>
      <c r="D19" s="3">
        <v>1</v>
      </c>
      <c r="E19" s="3">
        <f t="shared" si="0"/>
        <v>20</v>
      </c>
      <c r="F19" s="2" t="s">
        <v>51</v>
      </c>
      <c r="I19" s="2" t="s">
        <v>55</v>
      </c>
    </row>
    <row r="20" spans="1:9" x14ac:dyDescent="0.3">
      <c r="A20" s="5" t="s">
        <v>56</v>
      </c>
      <c r="B20" s="2" t="s">
        <v>59</v>
      </c>
      <c r="C20" s="2" t="s">
        <v>60</v>
      </c>
      <c r="D20" s="3">
        <v>1</v>
      </c>
      <c r="E20" s="3">
        <f t="shared" si="0"/>
        <v>20</v>
      </c>
      <c r="F20" s="2" t="s">
        <v>57</v>
      </c>
      <c r="I20" s="2" t="s">
        <v>58</v>
      </c>
    </row>
    <row r="21" spans="1:9" x14ac:dyDescent="0.3">
      <c r="A21" s="5" t="s">
        <v>61</v>
      </c>
      <c r="B21" s="2" t="s">
        <v>64</v>
      </c>
      <c r="C21" s="2" t="s">
        <v>61</v>
      </c>
      <c r="D21" s="3">
        <v>1</v>
      </c>
      <c r="E21" s="3">
        <f t="shared" si="0"/>
        <v>20</v>
      </c>
      <c r="F21" s="2" t="s">
        <v>62</v>
      </c>
      <c r="I21" s="2" t="s">
        <v>63</v>
      </c>
    </row>
    <row r="22" spans="1:9" x14ac:dyDescent="0.3">
      <c r="A22" s="5" t="s">
        <v>65</v>
      </c>
      <c r="B22" s="2" t="s">
        <v>68</v>
      </c>
      <c r="C22" s="2" t="s">
        <v>69</v>
      </c>
      <c r="D22" s="3">
        <v>1</v>
      </c>
      <c r="E22" s="3">
        <f t="shared" si="0"/>
        <v>20</v>
      </c>
      <c r="F22" s="2" t="s">
        <v>66</v>
      </c>
      <c r="I22" s="2" t="s">
        <v>67</v>
      </c>
    </row>
    <row r="23" spans="1:9" s="10" customFormat="1" x14ac:dyDescent="0.3">
      <c r="A23" s="5" t="s">
        <v>70</v>
      </c>
      <c r="B23" s="5" t="s">
        <v>72</v>
      </c>
      <c r="C23" s="5" t="s">
        <v>70</v>
      </c>
      <c r="D23" s="9">
        <v>1</v>
      </c>
      <c r="E23" s="9">
        <f t="shared" si="0"/>
        <v>20</v>
      </c>
      <c r="F23" s="5" t="s">
        <v>57</v>
      </c>
      <c r="I23" s="5" t="s">
        <v>71</v>
      </c>
    </row>
    <row r="24" spans="1:9" x14ac:dyDescent="0.3">
      <c r="A24" s="5" t="s">
        <v>73</v>
      </c>
      <c r="B24" s="2" t="s">
        <v>48</v>
      </c>
      <c r="C24" s="2" t="s">
        <v>48</v>
      </c>
      <c r="D24" s="3">
        <v>1</v>
      </c>
      <c r="E24" s="3">
        <f t="shared" si="0"/>
        <v>20</v>
      </c>
      <c r="F24" s="2" t="s">
        <v>48</v>
      </c>
      <c r="I24" s="2" t="s">
        <v>74</v>
      </c>
    </row>
    <row r="25" spans="1:9" x14ac:dyDescent="0.3">
      <c r="A25" s="2" t="s">
        <v>75</v>
      </c>
      <c r="B25" s="2" t="s">
        <v>77</v>
      </c>
      <c r="C25" s="2" t="s">
        <v>75</v>
      </c>
      <c r="D25" s="3">
        <v>1</v>
      </c>
      <c r="E25" s="3">
        <f t="shared" si="0"/>
        <v>20</v>
      </c>
      <c r="F25" s="2" t="s">
        <v>48</v>
      </c>
      <c r="I25" s="2" t="s">
        <v>76</v>
      </c>
    </row>
    <row r="26" spans="1:9" x14ac:dyDescent="0.3">
      <c r="A26" s="5" t="s">
        <v>78</v>
      </c>
      <c r="B26" s="2" t="s">
        <v>81</v>
      </c>
      <c r="C26" s="2" t="s">
        <v>82</v>
      </c>
      <c r="D26" s="3">
        <v>1</v>
      </c>
      <c r="E26" s="3">
        <f t="shared" si="0"/>
        <v>20</v>
      </c>
      <c r="F26" s="2" t="s">
        <v>79</v>
      </c>
      <c r="I26" s="2" t="s">
        <v>80</v>
      </c>
    </row>
    <row r="27" spans="1:9" x14ac:dyDescent="0.3">
      <c r="A27" s="5" t="s">
        <v>83</v>
      </c>
      <c r="B27" s="2" t="s">
        <v>86</v>
      </c>
      <c r="C27" s="2" t="s">
        <v>87</v>
      </c>
      <c r="D27" s="3">
        <v>13</v>
      </c>
      <c r="E27" s="3">
        <f t="shared" si="0"/>
        <v>260</v>
      </c>
      <c r="F27" s="2" t="s">
        <v>84</v>
      </c>
      <c r="I27" s="2" t="s">
        <v>85</v>
      </c>
    </row>
    <row r="28" spans="1:9" x14ac:dyDescent="0.3">
      <c r="A28" s="5" t="s">
        <v>88</v>
      </c>
      <c r="B28" s="2" t="s">
        <v>91</v>
      </c>
      <c r="C28" s="2" t="s">
        <v>92</v>
      </c>
      <c r="D28" s="3">
        <v>1</v>
      </c>
      <c r="E28" s="3">
        <f t="shared" si="0"/>
        <v>20</v>
      </c>
      <c r="F28" s="2" t="s">
        <v>89</v>
      </c>
      <c r="I28" s="2" t="s">
        <v>90</v>
      </c>
    </row>
    <row r="29" spans="1:9" x14ac:dyDescent="0.3">
      <c r="A29" s="11" t="s">
        <v>229</v>
      </c>
      <c r="B29" s="2" t="s">
        <v>96</v>
      </c>
      <c r="C29" s="2" t="s">
        <v>97</v>
      </c>
      <c r="D29" s="3">
        <v>1</v>
      </c>
      <c r="E29" s="3">
        <f t="shared" si="0"/>
        <v>20</v>
      </c>
      <c r="F29" s="2" t="s">
        <v>94</v>
      </c>
      <c r="I29" s="2" t="s">
        <v>95</v>
      </c>
    </row>
    <row r="30" spans="1:9" x14ac:dyDescent="0.3">
      <c r="A30" s="4" t="s">
        <v>98</v>
      </c>
      <c r="B30" s="2" t="s">
        <v>101</v>
      </c>
      <c r="C30" s="2" t="s">
        <v>98</v>
      </c>
      <c r="D30" s="3">
        <v>1</v>
      </c>
      <c r="E30" s="3">
        <f t="shared" si="0"/>
        <v>20</v>
      </c>
      <c r="F30" s="2" t="s">
        <v>99</v>
      </c>
      <c r="I30" s="2" t="s">
        <v>100</v>
      </c>
    </row>
    <row r="31" spans="1:9" x14ac:dyDescent="0.3">
      <c r="A31" s="5" t="s">
        <v>102</v>
      </c>
      <c r="B31" s="2" t="s">
        <v>104</v>
      </c>
      <c r="C31" s="2" t="s">
        <v>102</v>
      </c>
      <c r="D31" s="3">
        <v>2</v>
      </c>
      <c r="E31" s="3">
        <f t="shared" si="0"/>
        <v>40</v>
      </c>
      <c r="F31" s="2" t="s">
        <v>40</v>
      </c>
      <c r="I31" s="2" t="s">
        <v>103</v>
      </c>
    </row>
    <row r="32" spans="1:9" x14ac:dyDescent="0.3">
      <c r="A32" s="5" t="s">
        <v>105</v>
      </c>
      <c r="B32" s="2" t="s">
        <v>108</v>
      </c>
      <c r="C32" s="2" t="s">
        <v>109</v>
      </c>
      <c r="D32" s="3">
        <v>2</v>
      </c>
      <c r="E32" s="3">
        <f t="shared" si="0"/>
        <v>40</v>
      </c>
      <c r="F32" s="2" t="s">
        <v>106</v>
      </c>
      <c r="I32" s="2" t="s">
        <v>107</v>
      </c>
    </row>
    <row r="33" spans="1:9" x14ac:dyDescent="0.3">
      <c r="A33" s="13" t="s">
        <v>110</v>
      </c>
      <c r="B33" s="2" t="s">
        <v>112</v>
      </c>
      <c r="C33" s="2" t="s">
        <v>113</v>
      </c>
      <c r="D33" s="14">
        <v>26</v>
      </c>
      <c r="E33" s="3">
        <f t="shared" si="0"/>
        <v>520</v>
      </c>
      <c r="F33" s="2" t="s">
        <v>111</v>
      </c>
      <c r="I33" s="2" t="s">
        <v>243</v>
      </c>
    </row>
    <row r="34" spans="1:9" x14ac:dyDescent="0.3">
      <c r="A34" s="5" t="s">
        <v>114</v>
      </c>
      <c r="B34" s="2" t="s">
        <v>112</v>
      </c>
      <c r="C34" s="2" t="s">
        <v>113</v>
      </c>
      <c r="D34" s="3">
        <v>3</v>
      </c>
      <c r="E34" s="3">
        <f t="shared" si="0"/>
        <v>60</v>
      </c>
      <c r="F34" s="2" t="s">
        <v>111</v>
      </c>
      <c r="I34" s="2" t="s">
        <v>115</v>
      </c>
    </row>
    <row r="35" spans="1:9" x14ac:dyDescent="0.3">
      <c r="A35" s="7" t="s">
        <v>116</v>
      </c>
      <c r="B35" s="2" t="s">
        <v>112</v>
      </c>
      <c r="C35" s="2" t="s">
        <v>113</v>
      </c>
      <c r="D35" s="3">
        <v>3</v>
      </c>
      <c r="E35" s="3">
        <f t="shared" si="0"/>
        <v>60</v>
      </c>
      <c r="F35" s="2" t="s">
        <v>111</v>
      </c>
      <c r="I35" s="2" t="s">
        <v>117</v>
      </c>
    </row>
    <row r="36" spans="1:9" x14ac:dyDescent="0.3">
      <c r="A36" s="5" t="s">
        <v>118</v>
      </c>
      <c r="B36" s="2" t="s">
        <v>112</v>
      </c>
      <c r="C36" s="2" t="s">
        <v>121</v>
      </c>
      <c r="D36" s="3">
        <v>1</v>
      </c>
      <c r="E36" s="3">
        <f t="shared" si="0"/>
        <v>20</v>
      </c>
      <c r="F36" s="2" t="s">
        <v>119</v>
      </c>
      <c r="I36" s="2" t="s">
        <v>120</v>
      </c>
    </row>
    <row r="37" spans="1:9" x14ac:dyDescent="0.3">
      <c r="A37" s="5" t="s">
        <v>122</v>
      </c>
      <c r="B37" s="2" t="s">
        <v>125</v>
      </c>
      <c r="C37" s="2" t="s">
        <v>126</v>
      </c>
      <c r="D37" s="3">
        <v>1</v>
      </c>
      <c r="E37" s="3">
        <f t="shared" si="0"/>
        <v>20</v>
      </c>
      <c r="F37" s="2" t="s">
        <v>123</v>
      </c>
      <c r="I37" s="2" t="s">
        <v>124</v>
      </c>
    </row>
    <row r="38" spans="1:9" x14ac:dyDescent="0.3">
      <c r="A38" s="13" t="s">
        <v>127</v>
      </c>
      <c r="B38" s="2" t="s">
        <v>112</v>
      </c>
      <c r="C38" s="2" t="s">
        <v>113</v>
      </c>
      <c r="D38" s="14">
        <v>4</v>
      </c>
      <c r="E38" s="3">
        <f t="shared" si="0"/>
        <v>80</v>
      </c>
      <c r="F38" s="2" t="s">
        <v>111</v>
      </c>
      <c r="I38" s="2" t="s">
        <v>128</v>
      </c>
    </row>
    <row r="39" spans="1:9" x14ac:dyDescent="0.3">
      <c r="A39" s="5" t="s">
        <v>129</v>
      </c>
      <c r="B39" s="2" t="s">
        <v>112</v>
      </c>
      <c r="C39" s="2" t="s">
        <v>113</v>
      </c>
      <c r="D39" s="3">
        <v>1</v>
      </c>
      <c r="E39" s="3">
        <f t="shared" si="0"/>
        <v>20</v>
      </c>
      <c r="F39" s="2" t="s">
        <v>111</v>
      </c>
      <c r="I39" s="2" t="s">
        <v>130</v>
      </c>
    </row>
    <row r="40" spans="1:9" x14ac:dyDescent="0.3">
      <c r="A40" s="5" t="s">
        <v>131</v>
      </c>
      <c r="B40" s="2" t="s">
        <v>108</v>
      </c>
      <c r="C40" s="2" t="s">
        <v>133</v>
      </c>
      <c r="D40" s="3">
        <v>1</v>
      </c>
      <c r="E40" s="3">
        <f t="shared" si="0"/>
        <v>20</v>
      </c>
      <c r="F40" s="2" t="s">
        <v>106</v>
      </c>
      <c r="I40" s="2" t="s">
        <v>132</v>
      </c>
    </row>
    <row r="41" spans="1:9" x14ac:dyDescent="0.3">
      <c r="A41" s="19" t="s">
        <v>134</v>
      </c>
      <c r="B41" s="2" t="s">
        <v>136</v>
      </c>
      <c r="C41" s="2" t="s">
        <v>113</v>
      </c>
      <c r="D41" s="20">
        <v>6</v>
      </c>
      <c r="E41" s="3">
        <f t="shared" si="0"/>
        <v>120</v>
      </c>
      <c r="F41" s="19" t="s">
        <v>241</v>
      </c>
      <c r="I41" s="19" t="s">
        <v>240</v>
      </c>
    </row>
    <row r="42" spans="1:9" x14ac:dyDescent="0.3">
      <c r="A42" s="21" t="s">
        <v>138</v>
      </c>
      <c r="B42" s="21" t="s">
        <v>136</v>
      </c>
      <c r="C42" s="21" t="s">
        <v>137</v>
      </c>
      <c r="D42" s="22">
        <v>2</v>
      </c>
      <c r="E42" s="22">
        <f t="shared" si="0"/>
        <v>40</v>
      </c>
      <c r="F42" s="21" t="s">
        <v>242</v>
      </c>
      <c r="G42" s="23"/>
      <c r="H42" s="23"/>
      <c r="I42" s="21" t="s">
        <v>139</v>
      </c>
    </row>
    <row r="43" spans="1:9" x14ac:dyDescent="0.3">
      <c r="A43" s="6" t="s">
        <v>140</v>
      </c>
      <c r="B43" s="2" t="s">
        <v>136</v>
      </c>
      <c r="C43" s="2" t="s">
        <v>137</v>
      </c>
      <c r="D43" s="8">
        <v>2</v>
      </c>
      <c r="E43" s="3">
        <f t="shared" si="0"/>
        <v>40</v>
      </c>
      <c r="F43" s="6" t="s">
        <v>230</v>
      </c>
      <c r="I43" s="2" t="s">
        <v>141</v>
      </c>
    </row>
    <row r="44" spans="1:9" x14ac:dyDescent="0.3">
      <c r="A44" s="5" t="s">
        <v>134</v>
      </c>
      <c r="B44" s="2" t="s">
        <v>112</v>
      </c>
      <c r="C44" s="12" t="s">
        <v>113</v>
      </c>
      <c r="D44" s="8">
        <v>1</v>
      </c>
      <c r="E44" s="3">
        <f t="shared" si="0"/>
        <v>20</v>
      </c>
      <c r="F44" s="2" t="s">
        <v>111</v>
      </c>
      <c r="I44" s="2" t="s">
        <v>142</v>
      </c>
    </row>
    <row r="45" spans="1:9" x14ac:dyDescent="0.3">
      <c r="A45" s="6" t="s">
        <v>143</v>
      </c>
      <c r="B45" s="2" t="s">
        <v>112</v>
      </c>
      <c r="C45" s="2" t="s">
        <v>113</v>
      </c>
      <c r="D45" s="3">
        <v>1</v>
      </c>
      <c r="E45" s="3">
        <f t="shared" si="0"/>
        <v>20</v>
      </c>
      <c r="F45" s="6" t="s">
        <v>232</v>
      </c>
      <c r="I45" s="2" t="s">
        <v>144</v>
      </c>
    </row>
    <row r="46" spans="1:9" x14ac:dyDescent="0.3">
      <c r="A46" s="5" t="s">
        <v>145</v>
      </c>
      <c r="B46" s="2" t="s">
        <v>136</v>
      </c>
      <c r="C46" s="2" t="s">
        <v>137</v>
      </c>
      <c r="D46" s="3">
        <v>1</v>
      </c>
      <c r="E46" s="3">
        <f t="shared" si="0"/>
        <v>20</v>
      </c>
      <c r="F46" s="2" t="s">
        <v>135</v>
      </c>
      <c r="I46" s="2" t="s">
        <v>146</v>
      </c>
    </row>
    <row r="47" spans="1:9" s="16" customFormat="1" x14ac:dyDescent="0.3">
      <c r="A47" s="6" t="s">
        <v>145</v>
      </c>
      <c r="B47" s="12" t="s">
        <v>112</v>
      </c>
      <c r="C47" s="12" t="s">
        <v>113</v>
      </c>
      <c r="D47" s="15">
        <v>1</v>
      </c>
      <c r="E47" s="15">
        <f t="shared" si="0"/>
        <v>20</v>
      </c>
      <c r="F47" s="6" t="s">
        <v>231</v>
      </c>
      <c r="I47" s="12" t="s">
        <v>147</v>
      </c>
    </row>
    <row r="48" spans="1:9" x14ac:dyDescent="0.3">
      <c r="A48" s="6" t="s">
        <v>129</v>
      </c>
      <c r="B48" s="2" t="s">
        <v>136</v>
      </c>
      <c r="C48" s="2" t="s">
        <v>137</v>
      </c>
      <c r="D48" s="3">
        <v>4</v>
      </c>
      <c r="E48" s="3">
        <f t="shared" si="0"/>
        <v>80</v>
      </c>
      <c r="F48" s="2" t="s">
        <v>233</v>
      </c>
      <c r="I48" s="2" t="s">
        <v>148</v>
      </c>
    </row>
    <row r="49" spans="1:9" x14ac:dyDescent="0.3">
      <c r="A49" s="6" t="s">
        <v>114</v>
      </c>
      <c r="B49" s="2" t="s">
        <v>136</v>
      </c>
      <c r="C49" s="2" t="s">
        <v>137</v>
      </c>
      <c r="D49" s="3">
        <v>5</v>
      </c>
      <c r="E49" s="3">
        <f t="shared" si="0"/>
        <v>100</v>
      </c>
      <c r="F49" s="6" t="s">
        <v>234</v>
      </c>
      <c r="I49" s="2" t="s">
        <v>149</v>
      </c>
    </row>
    <row r="50" spans="1:9" x14ac:dyDescent="0.3">
      <c r="A50" s="2" t="s">
        <v>150</v>
      </c>
      <c r="B50" s="2" t="s">
        <v>136</v>
      </c>
      <c r="C50" s="2" t="s">
        <v>137</v>
      </c>
      <c r="D50" s="3">
        <v>1</v>
      </c>
      <c r="E50" s="3">
        <f t="shared" si="0"/>
        <v>20</v>
      </c>
      <c r="F50" s="2" t="s">
        <v>135</v>
      </c>
      <c r="I50" s="2" t="s">
        <v>151</v>
      </c>
    </row>
    <row r="51" spans="1:9" x14ac:dyDescent="0.3">
      <c r="A51" s="5" t="s">
        <v>152</v>
      </c>
      <c r="B51" s="2" t="s">
        <v>155</v>
      </c>
      <c r="C51" s="2" t="s">
        <v>156</v>
      </c>
      <c r="D51" s="3">
        <v>1</v>
      </c>
      <c r="E51" s="3">
        <f t="shared" si="0"/>
        <v>20</v>
      </c>
      <c r="F51" s="2" t="s">
        <v>153</v>
      </c>
      <c r="I51" s="2" t="s">
        <v>154</v>
      </c>
    </row>
    <row r="52" spans="1:9" x14ac:dyDescent="0.3">
      <c r="A52" s="2" t="s">
        <v>157</v>
      </c>
      <c r="B52" s="2" t="s">
        <v>136</v>
      </c>
      <c r="C52" s="2" t="s">
        <v>137</v>
      </c>
      <c r="D52" s="3">
        <v>2</v>
      </c>
      <c r="E52" s="3">
        <f t="shared" si="0"/>
        <v>40</v>
      </c>
      <c r="F52" s="2" t="s">
        <v>135</v>
      </c>
      <c r="I52" s="2" t="s">
        <v>158</v>
      </c>
    </row>
    <row r="53" spans="1:9" x14ac:dyDescent="0.3">
      <c r="A53" s="7" t="s">
        <v>157</v>
      </c>
      <c r="B53" s="2" t="s">
        <v>155</v>
      </c>
      <c r="C53" s="2" t="s">
        <v>156</v>
      </c>
      <c r="D53" s="3">
        <v>1</v>
      </c>
      <c r="E53" s="3">
        <f t="shared" si="0"/>
        <v>20</v>
      </c>
      <c r="F53" s="2" t="s">
        <v>153</v>
      </c>
      <c r="I53" s="2" t="s">
        <v>159</v>
      </c>
    </row>
    <row r="54" spans="1:9" x14ac:dyDescent="0.3">
      <c r="A54" s="5" t="s">
        <v>160</v>
      </c>
      <c r="B54" s="2" t="s">
        <v>155</v>
      </c>
      <c r="C54" s="2" t="s">
        <v>156</v>
      </c>
      <c r="D54" s="3">
        <v>1</v>
      </c>
      <c r="E54" s="3">
        <f t="shared" si="0"/>
        <v>20</v>
      </c>
      <c r="F54" s="2" t="s">
        <v>153</v>
      </c>
      <c r="I54" s="2" t="s">
        <v>161</v>
      </c>
    </row>
    <row r="55" spans="1:9" x14ac:dyDescent="0.3">
      <c r="A55" s="5" t="s">
        <v>162</v>
      </c>
      <c r="B55" s="2" t="s">
        <v>136</v>
      </c>
      <c r="C55" s="2" t="s">
        <v>137</v>
      </c>
      <c r="D55" s="3">
        <v>1</v>
      </c>
      <c r="E55" s="3">
        <f t="shared" si="0"/>
        <v>20</v>
      </c>
      <c r="F55" s="2" t="s">
        <v>135</v>
      </c>
      <c r="I55" s="2" t="s">
        <v>163</v>
      </c>
    </row>
    <row r="56" spans="1:9" x14ac:dyDescent="0.3">
      <c r="A56" s="5" t="s">
        <v>164</v>
      </c>
      <c r="B56" s="2" t="s">
        <v>167</v>
      </c>
      <c r="C56" s="2" t="s">
        <v>168</v>
      </c>
      <c r="D56" s="3">
        <v>2</v>
      </c>
      <c r="E56" s="3">
        <f t="shared" si="0"/>
        <v>40</v>
      </c>
      <c r="F56" s="2" t="s">
        <v>165</v>
      </c>
      <c r="I56" s="2" t="s">
        <v>166</v>
      </c>
    </row>
    <row r="57" spans="1:9" x14ac:dyDescent="0.3">
      <c r="A57" s="5" t="s">
        <v>169</v>
      </c>
      <c r="B57" s="2" t="s">
        <v>172</v>
      </c>
      <c r="C57" s="2" t="s">
        <v>169</v>
      </c>
      <c r="D57" s="3">
        <v>2</v>
      </c>
      <c r="E57" s="3">
        <f t="shared" si="0"/>
        <v>40</v>
      </c>
      <c r="F57" s="2" t="s">
        <v>170</v>
      </c>
      <c r="I57" s="2" t="s">
        <v>171</v>
      </c>
    </row>
    <row r="58" spans="1:9" x14ac:dyDescent="0.3">
      <c r="A58" s="5" t="s">
        <v>93</v>
      </c>
      <c r="B58" s="2" t="s">
        <v>175</v>
      </c>
      <c r="C58" s="2" t="s">
        <v>176</v>
      </c>
      <c r="D58" s="3">
        <v>1</v>
      </c>
      <c r="E58" s="3">
        <f t="shared" si="0"/>
        <v>20</v>
      </c>
      <c r="F58" s="2" t="s">
        <v>173</v>
      </c>
      <c r="I58" s="2" t="s">
        <v>174</v>
      </c>
    </row>
    <row r="59" spans="1:9" x14ac:dyDescent="0.3">
      <c r="A59" s="5" t="s">
        <v>177</v>
      </c>
      <c r="B59" s="2" t="s">
        <v>167</v>
      </c>
      <c r="C59" s="2" t="s">
        <v>168</v>
      </c>
      <c r="D59" s="3">
        <v>1</v>
      </c>
      <c r="E59" s="3">
        <f t="shared" si="0"/>
        <v>20</v>
      </c>
      <c r="F59" s="2" t="s">
        <v>165</v>
      </c>
      <c r="I59" s="2" t="s">
        <v>178</v>
      </c>
    </row>
    <row r="60" spans="1:9" x14ac:dyDescent="0.3">
      <c r="A60" s="5" t="s">
        <v>179</v>
      </c>
      <c r="B60" s="2" t="s">
        <v>182</v>
      </c>
      <c r="C60" s="2" t="s">
        <v>183</v>
      </c>
      <c r="D60" s="3">
        <v>1</v>
      </c>
      <c r="E60" s="3">
        <f t="shared" si="0"/>
        <v>20</v>
      </c>
      <c r="F60" s="2" t="s">
        <v>180</v>
      </c>
      <c r="I60" s="2" t="s">
        <v>181</v>
      </c>
    </row>
    <row r="61" spans="1:9" x14ac:dyDescent="0.3">
      <c r="A61" s="7" t="s">
        <v>235</v>
      </c>
      <c r="B61" s="2" t="s">
        <v>187</v>
      </c>
      <c r="C61" s="2" t="s">
        <v>184</v>
      </c>
      <c r="D61" s="3">
        <v>1</v>
      </c>
      <c r="E61" s="3">
        <f t="shared" si="0"/>
        <v>20</v>
      </c>
      <c r="F61" s="2" t="s">
        <v>185</v>
      </c>
      <c r="I61" s="2" t="s">
        <v>186</v>
      </c>
    </row>
    <row r="62" spans="1:9" x14ac:dyDescent="0.3">
      <c r="A62" s="5" t="s">
        <v>236</v>
      </c>
      <c r="B62" s="2" t="s">
        <v>182</v>
      </c>
      <c r="C62" s="2" t="s">
        <v>188</v>
      </c>
      <c r="D62" s="3">
        <v>1</v>
      </c>
      <c r="E62" s="3">
        <f t="shared" si="0"/>
        <v>20</v>
      </c>
      <c r="F62" s="2" t="s">
        <v>189</v>
      </c>
      <c r="I62" s="2" t="s">
        <v>190</v>
      </c>
    </row>
    <row r="63" spans="1:9" x14ac:dyDescent="0.3">
      <c r="A63" s="5" t="s">
        <v>191</v>
      </c>
      <c r="B63" s="2" t="s">
        <v>194</v>
      </c>
      <c r="C63" s="2" t="s">
        <v>195</v>
      </c>
      <c r="D63" s="3">
        <v>1</v>
      </c>
      <c r="E63" s="3">
        <f t="shared" si="0"/>
        <v>20</v>
      </c>
      <c r="F63" s="2" t="s">
        <v>192</v>
      </c>
      <c r="I63" s="2" t="s">
        <v>193</v>
      </c>
    </row>
    <row r="64" spans="1:9" x14ac:dyDescent="0.3">
      <c r="A64" s="5" t="s">
        <v>196</v>
      </c>
      <c r="B64" s="2" t="s">
        <v>199</v>
      </c>
      <c r="C64" s="2" t="s">
        <v>200</v>
      </c>
      <c r="D64" s="3">
        <v>1</v>
      </c>
      <c r="E64" s="3">
        <f t="shared" si="0"/>
        <v>20</v>
      </c>
      <c r="F64" s="2" t="s">
        <v>197</v>
      </c>
      <c r="I64" s="2" t="s">
        <v>198</v>
      </c>
    </row>
    <row r="65" spans="1:9" x14ac:dyDescent="0.3">
      <c r="A65" s="5" t="s">
        <v>201</v>
      </c>
      <c r="B65" s="2" t="s">
        <v>204</v>
      </c>
      <c r="C65" s="2" t="s">
        <v>201</v>
      </c>
      <c r="D65" s="3">
        <v>1</v>
      </c>
      <c r="E65" s="3">
        <f t="shared" si="0"/>
        <v>20</v>
      </c>
      <c r="F65" s="2" t="s">
        <v>202</v>
      </c>
      <c r="I65" s="2" t="s">
        <v>203</v>
      </c>
    </row>
    <row r="66" spans="1:9" x14ac:dyDescent="0.3">
      <c r="A66" s="5" t="s">
        <v>205</v>
      </c>
      <c r="B66" s="2" t="s">
        <v>208</v>
      </c>
      <c r="C66" s="2" t="s">
        <v>205</v>
      </c>
      <c r="D66" s="3">
        <v>1</v>
      </c>
      <c r="E66" s="3">
        <f t="shared" ref="E66:E71" si="1">D66*20</f>
        <v>20</v>
      </c>
      <c r="F66" s="2" t="s">
        <v>206</v>
      </c>
      <c r="I66" s="2" t="s">
        <v>207</v>
      </c>
    </row>
    <row r="67" spans="1:9" x14ac:dyDescent="0.3">
      <c r="A67" s="5" t="s">
        <v>209</v>
      </c>
      <c r="B67" s="2" t="s">
        <v>42</v>
      </c>
      <c r="C67" s="2" t="s">
        <v>212</v>
      </c>
      <c r="D67" s="3">
        <v>1</v>
      </c>
      <c r="E67" s="3">
        <f t="shared" si="1"/>
        <v>20</v>
      </c>
      <c r="F67" s="2" t="s">
        <v>210</v>
      </c>
      <c r="I67" s="2" t="s">
        <v>211</v>
      </c>
    </row>
    <row r="68" spans="1:9" x14ac:dyDescent="0.3">
      <c r="A68" s="5" t="s">
        <v>213</v>
      </c>
      <c r="B68" s="2" t="s">
        <v>216</v>
      </c>
      <c r="C68" s="2" t="s">
        <v>213</v>
      </c>
      <c r="D68" s="3">
        <v>1</v>
      </c>
      <c r="E68" s="3">
        <f t="shared" si="1"/>
        <v>20</v>
      </c>
      <c r="F68" s="2" t="s">
        <v>214</v>
      </c>
      <c r="I68" s="2" t="s">
        <v>215</v>
      </c>
    </row>
    <row r="69" spans="1:9" x14ac:dyDescent="0.3">
      <c r="A69" s="5" t="s">
        <v>217</v>
      </c>
      <c r="B69" s="2" t="s">
        <v>219</v>
      </c>
      <c r="C69" s="2" t="s">
        <v>220</v>
      </c>
      <c r="D69" s="3">
        <v>1</v>
      </c>
      <c r="E69" s="3">
        <f t="shared" si="1"/>
        <v>20</v>
      </c>
      <c r="F69" s="2" t="s">
        <v>210</v>
      </c>
      <c r="I69" s="2" t="s">
        <v>218</v>
      </c>
    </row>
    <row r="70" spans="1:9" x14ac:dyDescent="0.3">
      <c r="A70" s="7" t="s">
        <v>237</v>
      </c>
      <c r="B70" s="2" t="s">
        <v>167</v>
      </c>
      <c r="C70" s="2" t="s">
        <v>223</v>
      </c>
      <c r="D70" s="3">
        <v>1</v>
      </c>
      <c r="E70" s="3">
        <f t="shared" si="1"/>
        <v>20</v>
      </c>
      <c r="F70" s="2" t="s">
        <v>221</v>
      </c>
      <c r="I70" s="2" t="s">
        <v>222</v>
      </c>
    </row>
    <row r="71" spans="1:9" x14ac:dyDescent="0.3">
      <c r="A71" s="5" t="s">
        <v>224</v>
      </c>
      <c r="B71" s="2" t="s">
        <v>227</v>
      </c>
      <c r="C71" s="2" t="s">
        <v>228</v>
      </c>
      <c r="D71" s="3">
        <v>1</v>
      </c>
      <c r="E71" s="3">
        <f t="shared" si="1"/>
        <v>20</v>
      </c>
      <c r="F71" s="2" t="s">
        <v>225</v>
      </c>
      <c r="I71" s="2" t="s">
        <v>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HallFM2_0</vt:lpstr>
    </vt:vector>
  </TitlesOfParts>
  <Company>BINP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 User</dc:creator>
  <cp:lastModifiedBy>BINP User</cp:lastModifiedBy>
  <dcterms:created xsi:type="dcterms:W3CDTF">2025-12-26T05:04:58Z</dcterms:created>
  <dcterms:modified xsi:type="dcterms:W3CDTF">2025-12-29T12:15:27Z</dcterms:modified>
</cp:coreProperties>
</file>